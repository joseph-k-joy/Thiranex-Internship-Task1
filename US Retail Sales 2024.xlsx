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ep\OneDrive\Desktop\"/>
    </mc:Choice>
  </mc:AlternateContent>
  <xr:revisionPtr revIDLastSave="0" documentId="13_ncr:1_{1C93298B-FA7A-43A1-BF7A-41BF3B9E3E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Monthly Totals" sheetId="2" r:id="rId2"/>
    <sheet name="Category Breakdown" sheetId="3" r:id="rId3"/>
    <sheet name="Annual Category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D14" i="4" s="1"/>
  <c r="G13" i="4"/>
  <c r="G12" i="4"/>
  <c r="G11" i="4"/>
  <c r="G10" i="4"/>
  <c r="G9" i="4"/>
  <c r="G8" i="4"/>
  <c r="G7" i="4"/>
  <c r="G6" i="4"/>
  <c r="G5" i="4"/>
  <c r="G4" i="4"/>
  <c r="G3" i="4"/>
  <c r="G2" i="4"/>
  <c r="M14" i="3"/>
  <c r="L14" i="3"/>
  <c r="K14" i="3"/>
  <c r="J14" i="3"/>
  <c r="I14" i="3"/>
  <c r="H14" i="3"/>
  <c r="G14" i="3"/>
  <c r="F14" i="3"/>
  <c r="E14" i="3"/>
  <c r="D14" i="3"/>
  <c r="C14" i="3"/>
  <c r="B14" i="3"/>
  <c r="B14" i="2"/>
  <c r="E14" i="2" s="1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E2" i="2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</calcChain>
</file>

<file path=xl/sharedStrings.xml><?xml version="1.0" encoding="utf-8"?>
<sst xmlns="http://schemas.openxmlformats.org/spreadsheetml/2006/main" count="122" uniqueCount="83">
  <si>
    <t>U.S. RETAIL SALES ANALYSIS DASHBOARD — FY 2024</t>
  </si>
  <si>
    <t>Data Source: U.S. Census Bureau — Advance Monthly Retail Trade Survey (MRTS) | Seasonally Adjusted | All values in Billions USD</t>
  </si>
  <si>
    <t>TOTAL FY2024 SALES</t>
  </si>
  <si>
    <t>PEAK MONTH</t>
  </si>
  <si>
    <t>LOWEST MONTH</t>
  </si>
  <si>
    <t>ANNUAL GROWTH</t>
  </si>
  <si>
    <t>TOP CATEGORY</t>
  </si>
  <si>
    <t>ONLINE GROWTH</t>
  </si>
  <si>
    <t>$8,549.1B</t>
  </si>
  <si>
    <t>Dec 2024 — $729.8B</t>
  </si>
  <si>
    <t>Feb 2024 — $698.5B</t>
  </si>
  <si>
    <t>~2.8% vs FY2023</t>
  </si>
  <si>
    <t>Motor Vehicles
~20% of Sales</t>
  </si>
  <si>
    <t>Nonstore +8.5% YoY</t>
  </si>
  <si>
    <t>Month</t>
  </si>
  <si>
    <t>Total Retail &amp; Food Services ($B)</t>
  </si>
  <si>
    <t>MoM Change ($B)</t>
  </si>
  <si>
    <t>MoM Change (%)</t>
  </si>
  <si>
    <t>YTD Cumulative ($B)</t>
  </si>
  <si>
    <t>Jan</t>
  </si>
  <si>
    <t>N/A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</si>
  <si>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</si>
  <si>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</si>
  <si>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</si>
  <si>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</si>
  <si>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</si>
  <si>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</si>
  <si>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</si>
  <si>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</si>
  <si>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</si>
  <si>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</si>
  <si>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</si>
  <si>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2024 TOTAL</t>
  </si>
  <si>
    <t>Source: U.S. Census Bureau, Advance Monthly Retail Trade Survey (MRTS), 2024. Values seasonally adjusted, in billions USD.</t>
  </si>
  <si>
    <t>Motor Vehicles &amp; Parts</t>
  </si>
  <si>
    <t>Nonstore Retailers (Online)</t>
  </si>
  <si>
    <t>Food &amp; Beverage Stores</t>
  </si>
  <si>
    <t>General Merchandise</t>
  </si>
  <si>
    <t>Food Services &amp; Drinking</t>
  </si>
  <si>
    <t>Health &amp; Personal Care</t>
  </si>
  <si>
    <t>Gasoline Stations</t>
  </si>
  <si>
    <t>Clothing &amp; Accessories</t>
  </si>
  <si>
    <t>Building Material &amp; Garden</t>
  </si>
  <si>
    <t>Electronics &amp; Appliances</t>
  </si>
  <si>
    <t>Furniture &amp; Home Furnishings</t>
  </si>
  <si>
    <t>Sporting Goods &amp; Hobby</t>
  </si>
  <si>
    <t>Source: U.S. Census Bureau MRTS 2024 | NAICS categories 441-722 | Seasonally adjusted, billions USD</t>
  </si>
  <si>
    <t>Retail Category</t>
  </si>
  <si>
    <t>NAICS Code</t>
  </si>
  <si>
    <t>Annual Total ($B)</t>
  </si>
  <si>
    <t>Monthly Avg ($B)</t>
  </si>
  <si>
    <t>Peak Month</t>
  </si>
  <si>
    <t>Peak Value ($B)</t>
  </si>
  <si>
    <t>% of Total</t>
  </si>
  <si>
    <t>YoY Growth (2023→2024)</t>
  </si>
  <si>
    <t>441</t>
  </si>
  <si>
    <t>3.2%</t>
  </si>
  <si>
    <t>454</t>
  </si>
  <si>
    <t>8.5%</t>
  </si>
  <si>
    <t>445</t>
  </si>
  <si>
    <t>2.1%</t>
  </si>
  <si>
    <t>452</t>
  </si>
  <si>
    <t>3.8%</t>
  </si>
  <si>
    <t>722</t>
  </si>
  <si>
    <t>4.3%</t>
  </si>
  <si>
    <t>446</t>
  </si>
  <si>
    <t>4.8%</t>
  </si>
  <si>
    <t>447</t>
  </si>
  <si>
    <t>(6.2%)</t>
  </si>
  <si>
    <t>448</t>
  </si>
  <si>
    <t>1.1%</t>
  </si>
  <si>
    <t>444</t>
  </si>
  <si>
    <t>(1.3%)</t>
  </si>
  <si>
    <t>443</t>
  </si>
  <si>
    <t>(2.8%)</t>
  </si>
  <si>
    <t>442</t>
  </si>
  <si>
    <t>(3.1%)</t>
  </si>
  <si>
    <t>451</t>
  </si>
  <si>
    <t>1.5%</t>
  </si>
  <si>
    <t>ALL RETAIL &amp; FOOD SERVICES</t>
  </si>
  <si>
    <t>100.0%</t>
  </si>
  <si>
    <t>2.8%</t>
  </si>
  <si>
    <t>Source: U.S. Census Bureau MRTS 2024 | YoY growth from Census Dec 2024 release | Negative values in parentheses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</si>
</sst>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name val="Arial"/>
    </font>
    <font>
      <i/>
      <sz val="8"/>
      <color rgb="FF595959"/>
      <name val="Arial"/>
    </font>
    <font>
      <b/>
      <sz val="16"/>
      <color rgb="FFFFFFFF"/>
      <name val="Arial"/>
    </font>
    <font>
      <i/>
      <sz val="9"/>
      <color rgb="FF595959"/>
      <name val="Arial"/>
    </font>
    <font>
      <b/>
      <sz val="8"/>
      <color rgb="FFFFFFFF"/>
      <name val="Arial"/>
    </font>
    <font>
      <b/>
      <sz val="11"/>
      <color rgb="FF1F4E79"/>
      <name val="Arial"/>
    </font>
    <font>
      <b/>
      <sz val="11"/>
      <color rgb="FF2E7D32"/>
      <name val="Arial"/>
    </font>
    <font>
      <b/>
      <sz val="11"/>
      <color rgb="FFB71C1C"/>
      <name val="Arial"/>
    </font>
    <font>
      <b/>
      <sz val="11"/>
      <color rgb="FFE65100"/>
      <name val="Arial"/>
    </font>
    <font>
      <b/>
      <sz val="11"/>
      <color rgb="FF6A1B9A"/>
      <name val="Arial"/>
    </font>
    <font>
      <b/>
      <sz val="11"/>
      <color rgb="FF00695C"/>
      <name val="Arial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EBF5FB"/>
      </patternFill>
    </fill>
    <fill>
      <patternFill patternType="solid">
        <fgColor rgb="FF2E7D32"/>
      </patternFill>
    </fill>
    <fill>
      <patternFill patternType="solid">
        <fgColor rgb="FFB71C1C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00695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3" fillId="11" borderId="0" applyNumberFormat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10" fontId="0" fillId="3" borderId="1" xfId="0" applyNumberForma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165" fontId="0" fillId="3" borderId="1" xfId="0" applyNumberFormat="1" applyFill="1" applyBorder="1"/>
    <xf numFmtId="165" fontId="0" fillId="0" borderId="1" xfId="0" applyNumberFormat="1" applyBorder="1"/>
    <xf numFmtId="0" fontId="13" fillId="12" borderId="0" xfId="1" applyFill="1"/>
    <xf numFmtId="0" fontId="0" fillId="12" borderId="0" xfId="0" applyFill="1"/>
    <xf numFmtId="0" fontId="6" fillId="10" borderId="0" xfId="0" applyFont="1" applyFill="1" applyAlignment="1">
      <alignment horizontal="center" vertical="center"/>
    </xf>
    <xf numFmtId="0" fontId="0" fillId="0" borderId="0" xfId="0"/>
    <xf numFmtId="0" fontId="8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3" fillId="0" borderId="0" xfId="0" applyFont="1"/>
  </cellXfs>
  <cellStyles count="2">
    <cellStyle name="60% - Accent1" xfId="1" builtinId="3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U.S. Retail &amp; Food Services Sales 2024 ($B)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Totals'!$B$1</c:f>
              <c:strCache>
                <c:ptCount val="1"/>
                <c:pt idx="0">
                  <c:v>Total Retail &amp; Food Services ($B)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34-4012-B918-141771E11088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34-4012-B918-141771E11088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034-4012-B918-141771E11088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034-4012-B918-141771E11088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034-4012-B918-141771E11088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034-4012-B918-141771E11088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034-4012-B918-141771E11088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034-4012-B918-141771E11088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034-4012-B918-141771E11088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034-4012-B918-141771E11088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034-4012-B918-141771E11088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6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034-4012-B918-141771E110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Totals'!$A$2:$A$13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Totals'!$B$2:$B$13</c:f>
              <c:numCache>
                <c:formatCode>#,##0.0</c:formatCode>
                <c:ptCount val="12"/>
                <c:pt idx="0">
                  <c:v>700.2</c:v>
                </c:pt>
                <c:pt idx="1">
                  <c:v>698.5</c:v>
                </c:pt>
                <c:pt idx="2">
                  <c:v>709.3</c:v>
                </c:pt>
                <c:pt idx="3">
                  <c:v>706.1</c:v>
                </c:pt>
                <c:pt idx="4">
                  <c:v>711.8</c:v>
                </c:pt>
                <c:pt idx="5">
                  <c:v>708.4</c:v>
                </c:pt>
                <c:pt idx="6">
                  <c:v>714.7</c:v>
                </c:pt>
                <c:pt idx="7">
                  <c:v>712.3</c:v>
                </c:pt>
                <c:pt idx="8">
                  <c:v>715</c:v>
                </c:pt>
                <c:pt idx="9">
                  <c:v>718.9</c:v>
                </c:pt>
                <c:pt idx="10">
                  <c:v>724.1</c:v>
                </c:pt>
                <c:pt idx="11">
                  <c:v>729.8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1F-4167-9611-A5831F7CD6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($B)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Annual Sales by Retail Category 2024 ($B)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'Annual Category Summary'!$C$1</c:f>
              <c:strCache>
                <c:ptCount val="1"/>
                <c:pt idx="0">
                  <c:v>Annual Total ($B)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noFill/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34E5-44A4-9442-696F28BF31A9}"/>
              </c:ext>
            </c:extLst>
          </c:dPt>
          <c:dPt>
            <c:idx val="1"/>
            <c:invertIfNegative val="1"/>
            <c:bubble3D val="0"/>
            <c:spPr>
              <a:noFill/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34E5-44A4-9442-696F28BF31A9}"/>
              </c:ext>
            </c:extLst>
          </c:dPt>
          <c:dPt>
            <c:idx val="2"/>
            <c:invertIfNegative val="1"/>
            <c:bubble3D val="0"/>
            <c:spPr>
              <a:noFill/>
              <a:ln w="9525" cap="flat" cmpd="sng" algn="ctr">
                <a:solidFill>
                  <a:schemeClr val="accent3"/>
                </a:solidFill>
                <a:miter lim="800000"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34E5-44A4-9442-696F28BF31A9}"/>
              </c:ext>
            </c:extLst>
          </c:dPt>
          <c:dPt>
            <c:idx val="3"/>
            <c:invertIfNegative val="1"/>
            <c:bubble3D val="0"/>
            <c:spPr>
              <a:noFill/>
              <a:ln w="9525" cap="flat" cmpd="sng" algn="ctr">
                <a:solidFill>
                  <a:schemeClr val="accent4"/>
                </a:solidFill>
                <a:miter lim="800000"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34E5-44A4-9442-696F28BF31A9}"/>
              </c:ext>
            </c:extLst>
          </c:dPt>
          <c:dPt>
            <c:idx val="4"/>
            <c:invertIfNegative val="1"/>
            <c:bubble3D val="0"/>
            <c:spPr>
              <a:noFill/>
              <a:ln w="9525" cap="flat" cmpd="sng" algn="ctr">
                <a:solidFill>
                  <a:schemeClr val="accent5"/>
                </a:solidFill>
                <a:miter lim="800000"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34E5-44A4-9442-696F28BF31A9}"/>
              </c:ext>
            </c:extLst>
          </c:dPt>
          <c:dPt>
            <c:idx val="5"/>
            <c:invertIfNegative val="1"/>
            <c:bubble3D val="0"/>
            <c:spPr>
              <a:noFill/>
              <a:ln w="9525" cap="flat" cmpd="sng" algn="ctr">
                <a:solidFill>
                  <a:schemeClr val="accent6"/>
                </a:solidFill>
                <a:miter lim="800000"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B-34E5-44A4-9442-696F28BF31A9}"/>
              </c:ext>
            </c:extLst>
          </c:dPt>
          <c:dPt>
            <c:idx val="6"/>
            <c:invertIfNegative val="1"/>
            <c:bubble3D val="0"/>
            <c:spPr>
              <a:noFill/>
              <a:ln w="9525" cap="flat" cmpd="sng" algn="ctr">
                <a:solidFill>
                  <a:schemeClr val="accent1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1">
                    <a:lumMod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D-34E5-44A4-9442-696F28BF31A9}"/>
              </c:ext>
            </c:extLst>
          </c:dPt>
          <c:dPt>
            <c:idx val="7"/>
            <c:invertIfNegative val="1"/>
            <c:bubble3D val="0"/>
            <c:spPr>
              <a:noFill/>
              <a:ln w="9525" cap="flat" cmpd="sng" algn="ctr">
                <a:solidFill>
                  <a:schemeClr val="accent2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F-34E5-44A4-9442-696F28BF31A9}"/>
              </c:ext>
            </c:extLst>
          </c:dPt>
          <c:dPt>
            <c:idx val="8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3">
                    <a:lumMod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1-34E5-44A4-9442-696F28BF31A9}"/>
              </c:ext>
            </c:extLst>
          </c:dPt>
          <c:dPt>
            <c:idx val="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3-34E5-44A4-9442-696F28BF31A9}"/>
              </c:ext>
            </c:extLst>
          </c:dPt>
          <c:dPt>
            <c:idx val="10"/>
            <c:invertIfNegative val="1"/>
            <c:bubble3D val="0"/>
            <c:spPr>
              <a:noFill/>
              <a:ln w="9525" cap="flat" cmpd="sng" algn="ctr">
                <a:solidFill>
                  <a:schemeClr val="accent5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5">
                    <a:lumMod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5-34E5-44A4-9442-696F28BF31A9}"/>
              </c:ext>
            </c:extLst>
          </c:dPt>
          <c:dPt>
            <c:idx val="11"/>
            <c:invertIfNegative val="1"/>
            <c:bubble3D val="0"/>
            <c:spPr>
              <a:noFill/>
              <a:ln w="9525" cap="flat" cmpd="sng" algn="ctr">
                <a:solidFill>
                  <a:schemeClr val="accent6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6">
                    <a:lumMod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7-34E5-44A4-9442-696F28BF31A9}"/>
              </c:ext>
            </c:extLst>
          </c:dPt>
          <c:cat>
            <c:strRef>
              <c:f>'Annual Category Summary'!$A$2:$A$13</c:f>
              <c:strCache>
                <c:ptCount val="12"/>
                <c:pt idx="0">
                  <c:v>Motor Vehicles &amp; Parts</c:v>
                </c:pt>
                <c:pt idx="1">
                  <c:v>Nonstore Retailers (Online)</c:v>
                </c:pt>
                <c:pt idx="2">
                  <c:v>Food &amp; Beverage Stores</c:v>
                </c:pt>
                <c:pt idx="3">
                  <c:v>General Merchandise</c:v>
                </c:pt>
                <c:pt idx="4">
                  <c:v>Food Services &amp; Drinking</c:v>
                </c:pt>
                <c:pt idx="5">
                  <c:v>Health &amp; Personal Care</c:v>
                </c:pt>
                <c:pt idx="6">
                  <c:v>Gasoline Stations</c:v>
                </c:pt>
                <c:pt idx="7">
                  <c:v>Clothing &amp; Accessories</c:v>
                </c:pt>
                <c:pt idx="8">
                  <c:v>Building Material &amp; Garden</c:v>
                </c:pt>
                <c:pt idx="9">
                  <c:v>Electronics &amp; Appliances</c:v>
                </c:pt>
                <c:pt idx="10">
                  <c:v>Furniture &amp; Home Furnishings</c:v>
                </c:pt>
                <c:pt idx="11">
                  <c:v>Sporting Goods &amp; Hobby</c:v>
                </c:pt>
              </c:strCache>
            </c:strRef>
          </c:cat>
          <c:val>
            <c:numRef>
              <c:f>'Annual Category Summary'!$C$2:$C$13</c:f>
              <c:numCache>
                <c:formatCode>#,##0.0</c:formatCode>
                <c:ptCount val="12"/>
                <c:pt idx="0">
                  <c:v>1711.7</c:v>
                </c:pt>
                <c:pt idx="1">
                  <c:v>1497.8</c:v>
                </c:pt>
                <c:pt idx="2">
                  <c:v>1000.6</c:v>
                </c:pt>
                <c:pt idx="3">
                  <c:v>886.9</c:v>
                </c:pt>
                <c:pt idx="4">
                  <c:v>1184.4000000000001</c:v>
                </c:pt>
                <c:pt idx="5">
                  <c:v>452.5</c:v>
                </c:pt>
                <c:pt idx="6">
                  <c:v>588.9</c:v>
                </c:pt>
                <c:pt idx="7">
                  <c:v>313.8</c:v>
                </c:pt>
                <c:pt idx="8">
                  <c:v>519</c:v>
                </c:pt>
                <c:pt idx="9">
                  <c:v>113.3</c:v>
                </c:pt>
                <c:pt idx="10">
                  <c:v>146.19999999999999</c:v>
                </c:pt>
                <c:pt idx="11">
                  <c:v>98.7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9-47F0-B9CE-DF0334EB0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($B)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Categories Monthly Trend 2024 ($B)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'Category Breakdown'!$B$1</c:f>
              <c:strCache>
                <c:ptCount val="1"/>
                <c:pt idx="0">
                  <c:v>Motor Vehicles &amp; Parts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'Category Breakdown'!$A$2:$A$13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'Category Breakdown'!$B$2:$B$13</c:f>
              <c:numCache>
                <c:formatCode>#,##0.0</c:formatCode>
                <c:ptCount val="12"/>
                <c:pt idx="0">
                  <c:v>140</c:v>
                </c:pt>
                <c:pt idx="1">
                  <c:v>138.4</c:v>
                </c:pt>
                <c:pt idx="2">
                  <c:v>142.5</c:v>
                </c:pt>
                <c:pt idx="3">
                  <c:v>141.1</c:v>
                </c:pt>
                <c:pt idx="4">
                  <c:v>143.19999999999999</c:v>
                </c:pt>
                <c:pt idx="5">
                  <c:v>141.80000000000001</c:v>
                </c:pt>
                <c:pt idx="6">
                  <c:v>143.80000000000001</c:v>
                </c:pt>
                <c:pt idx="7">
                  <c:v>142.69999999999999</c:v>
                </c:pt>
                <c:pt idx="8">
                  <c:v>143.5</c:v>
                </c:pt>
                <c:pt idx="9">
                  <c:v>144.19999999999999</c:v>
                </c:pt>
                <c:pt idx="10">
                  <c:v>144.9</c:v>
                </c:pt>
                <c:pt idx="11">
                  <c:v>145.6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A6-4211-96C5-9D826944C766}"/>
            </c:ext>
          </c:extLst>
        </c:ser>
        <c:ser>
          <c:idx val="1"/>
          <c:order val="1"/>
          <c:tx>
            <c:strRef>
              <c:f>'Category Breakdown'!$C$1</c:f>
              <c:strCache>
                <c:ptCount val="1"/>
                <c:pt idx="0">
                  <c:v>Nonstore Retailers (Online)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'Category Breakdown'!$A$2:$A$13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'Category Breakdown'!$C$2:$C$13</c:f>
              <c:numCache>
                <c:formatCode>#,##0.0</c:formatCode>
                <c:ptCount val="12"/>
                <c:pt idx="0">
                  <c:v>119.8</c:v>
                </c:pt>
                <c:pt idx="1">
                  <c:v>120.4</c:v>
                </c:pt>
                <c:pt idx="2">
                  <c:v>122.3</c:v>
                </c:pt>
                <c:pt idx="3">
                  <c:v>121.5</c:v>
                </c:pt>
                <c:pt idx="4">
                  <c:v>122.9</c:v>
                </c:pt>
                <c:pt idx="5">
                  <c:v>123.4</c:v>
                </c:pt>
                <c:pt idx="6">
                  <c:v>125.1</c:v>
                </c:pt>
                <c:pt idx="7">
                  <c:v>124.2</c:v>
                </c:pt>
                <c:pt idx="8">
                  <c:v>125.8</c:v>
                </c:pt>
                <c:pt idx="9">
                  <c:v>127.3</c:v>
                </c:pt>
                <c:pt idx="10">
                  <c:v>131.19999999999999</c:v>
                </c:pt>
                <c:pt idx="11">
                  <c:v>133.9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A6-4211-96C5-9D826944C766}"/>
            </c:ext>
          </c:extLst>
        </c:ser>
        <c:ser>
          <c:idx val="2"/>
          <c:order val="2"/>
          <c:tx>
            <c:strRef>
              <c:f>'Category Breakdown'!$D$1</c:f>
              <c:strCache>
                <c:ptCount val="1"/>
                <c:pt idx="0">
                  <c:v>Food &amp; Beverage Stores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'Category Breakdown'!$A$2:$A$13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'Category Breakdown'!$D$2:$D$13</c:f>
              <c:numCache>
                <c:formatCode>#,##0.0</c:formatCode>
                <c:ptCount val="12"/>
                <c:pt idx="0">
                  <c:v>82.3</c:v>
                </c:pt>
                <c:pt idx="1">
                  <c:v>80.900000000000006</c:v>
                </c:pt>
                <c:pt idx="2">
                  <c:v>83.1</c:v>
                </c:pt>
                <c:pt idx="3">
                  <c:v>82.7</c:v>
                </c:pt>
                <c:pt idx="4">
                  <c:v>83.5</c:v>
                </c:pt>
                <c:pt idx="5">
                  <c:v>83</c:v>
                </c:pt>
                <c:pt idx="6">
                  <c:v>83.8</c:v>
                </c:pt>
                <c:pt idx="7">
                  <c:v>83.6</c:v>
                </c:pt>
                <c:pt idx="8">
                  <c:v>83.9</c:v>
                </c:pt>
                <c:pt idx="9">
                  <c:v>84.2</c:v>
                </c:pt>
                <c:pt idx="10">
                  <c:v>84.5</c:v>
                </c:pt>
                <c:pt idx="11">
                  <c:v>85.1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A6-4211-96C5-9D826944C766}"/>
            </c:ext>
          </c:extLst>
        </c:ser>
        <c:ser>
          <c:idx val="3"/>
          <c:order val="3"/>
          <c:tx>
            <c:strRef>
              <c:f>'Category Breakdown'!$E$1</c:f>
              <c:strCache>
                <c:ptCount val="1"/>
                <c:pt idx="0">
                  <c:v>General Merchandise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'Category Breakdown'!$A$2:$A$13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'Category Breakdown'!$E$2:$E$13</c:f>
              <c:numCache>
                <c:formatCode>#,##0.0</c:formatCode>
                <c:ptCount val="12"/>
                <c:pt idx="0">
                  <c:v>72.400000000000006</c:v>
                </c:pt>
                <c:pt idx="1">
                  <c:v>71.2</c:v>
                </c:pt>
                <c:pt idx="2">
                  <c:v>73.099999999999994</c:v>
                </c:pt>
                <c:pt idx="3">
                  <c:v>72.8</c:v>
                </c:pt>
                <c:pt idx="4">
                  <c:v>73.599999999999994</c:v>
                </c:pt>
                <c:pt idx="5">
                  <c:v>72.900000000000006</c:v>
                </c:pt>
                <c:pt idx="6">
                  <c:v>73.5</c:v>
                </c:pt>
                <c:pt idx="7">
                  <c:v>73.2</c:v>
                </c:pt>
                <c:pt idx="8">
                  <c:v>73.8</c:v>
                </c:pt>
                <c:pt idx="9">
                  <c:v>74.2</c:v>
                </c:pt>
                <c:pt idx="10">
                  <c:v>76.8</c:v>
                </c:pt>
                <c:pt idx="11">
                  <c:v>79.400000000000006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CA6-4211-96C5-9D826944C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($B)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U.S. Retail Sales Share by Category 2024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'Annual Category Summary'!$C$1</c:f>
              <c:strCache>
                <c:ptCount val="1"/>
                <c:pt idx="0">
                  <c:v>Annual Total ($B)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6E2-461C-BFDA-AAF2F233129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6E2-461C-BFDA-AAF2F233129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6E2-461C-BFDA-AAF2F233129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6E2-461C-BFDA-AAF2F233129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66E2-461C-BFDA-AAF2F233129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66E2-461C-BFDA-AAF2F233129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66E2-461C-BFDA-AAF2F233129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66E2-461C-BFDA-AAF2F233129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66E2-461C-BFDA-AAF2F233129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66E2-461C-BFDA-AAF2F233129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66E2-461C-BFDA-AAF2F233129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66E2-461C-BFDA-AAF2F2331299}"/>
              </c:ext>
            </c:extLst>
          </c:dPt>
          <c:cat>
            <c:strRef>
              <c:f>'Annual Category Summary'!$A$2:$A$13</c:f>
              <c:strCache>
                <c:ptCount val="12"/>
                <c:pt idx="0">
                  <c:v>Motor Vehicles &amp; Parts</c:v>
                </c:pt>
                <c:pt idx="1">
                  <c:v>Nonstore Retailers (Online)</c:v>
                </c:pt>
                <c:pt idx="2">
                  <c:v>Food &amp; Beverage Stores</c:v>
                </c:pt>
                <c:pt idx="3">
                  <c:v>General Merchandise</c:v>
                </c:pt>
                <c:pt idx="4">
                  <c:v>Food Services &amp; Drinking</c:v>
                </c:pt>
                <c:pt idx="5">
                  <c:v>Health &amp; Personal Care</c:v>
                </c:pt>
                <c:pt idx="6">
                  <c:v>Gasoline Stations</c:v>
                </c:pt>
                <c:pt idx="7">
                  <c:v>Clothing &amp; Accessories</c:v>
                </c:pt>
                <c:pt idx="8">
                  <c:v>Building Material &amp; Garden</c:v>
                </c:pt>
                <c:pt idx="9">
                  <c:v>Electronics &amp; Appliances</c:v>
                </c:pt>
                <c:pt idx="10">
                  <c:v>Furniture &amp; Home Furnishings</c:v>
                </c:pt>
                <c:pt idx="11">
                  <c:v>Sporting Goods &amp; Hobby</c:v>
                </c:pt>
              </c:strCache>
            </c:strRef>
          </c:cat>
          <c:val>
            <c:numRef>
              <c:f>'Annual Category Summary'!$C$2:$C$13</c:f>
              <c:numCache>
                <c:formatCode>#,##0.0</c:formatCode>
                <c:ptCount val="12"/>
                <c:pt idx="0">
                  <c:v>1711.7</c:v>
                </c:pt>
                <c:pt idx="1">
                  <c:v>1497.8</c:v>
                </c:pt>
                <c:pt idx="2">
                  <c:v>1000.6</c:v>
                </c:pt>
                <c:pt idx="3">
                  <c:v>886.9</c:v>
                </c:pt>
                <c:pt idx="4">
                  <c:v>1184.4000000000001</c:v>
                </c:pt>
                <c:pt idx="5">
                  <c:v>452.5</c:v>
                </c:pt>
                <c:pt idx="6">
                  <c:v>588.9</c:v>
                </c:pt>
                <c:pt idx="7">
                  <c:v>313.8</c:v>
                </c:pt>
                <c:pt idx="8">
                  <c:v>519</c:v>
                </c:pt>
                <c:pt idx="9">
                  <c:v>113.3</c:v>
                </c:pt>
                <c:pt idx="10">
                  <c:v>146.19999999999999</c:v>
                </c:pt>
                <c:pt idx="11">
                  <c:v>98.7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C-4B72-A89E-91BD575FF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23091</xdr:rowOff>
    </xdr:from>
    <xdr:ext cx="6217920" cy="394084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232088</xdr:colOff>
      <xdr:row>5</xdr:row>
      <xdr:rowOff>22629</xdr:rowOff>
    </xdr:from>
    <xdr:ext cx="6120000" cy="396440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28</xdr:row>
      <xdr:rowOff>23091</xdr:rowOff>
    </xdr:from>
    <xdr:ext cx="62484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251460</xdr:colOff>
      <xdr:row>28</xdr:row>
      <xdr:rowOff>14008</xdr:rowOff>
    </xdr:from>
    <xdr:ext cx="608838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Data" displayName="MonthlyData" ref="A1:E13">
  <autoFilter ref="A1:E13" xr:uid="{00000000-0009-0000-0100-000001000000}"/>
  <tableColumns count="5">
    <tableColumn id="1" xr3:uid="{00000000-0010-0000-0000-000001000000}" name="Month"/>
    <tableColumn id="2" xr3:uid="{00000000-0010-0000-0000-000002000000}" name="Total Retail &amp; Food Services ($B)"/>
    <tableColumn id="3" xr3:uid="{00000000-0010-0000-0000-000003000000}" name="MoM Change ($B)"/>
    <tableColumn id="4" xr3:uid="{00000000-0010-0000-0000-000004000000}" name="MoM Change (%)"/>
    <tableColumn id="5" xr3:uid="{00000000-0010-0000-0000-000005000000}" name="YTD Cumulative ($B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Data" displayName="CategoryData" ref="A1:M13">
  <autoFilter ref="A1:M13" xr:uid="{00000000-0009-0000-0100-000002000000}"/>
  <tableColumns count="13">
    <tableColumn id="1" xr3:uid="{00000000-0010-0000-0100-000001000000}" name="Month"/>
    <tableColumn id="2" xr3:uid="{00000000-0010-0000-0100-000002000000}" name="Motor Vehicles &amp; Parts"/>
    <tableColumn id="3" xr3:uid="{00000000-0010-0000-0100-000003000000}" name="Nonstore Retailers (Online)"/>
    <tableColumn id="4" xr3:uid="{00000000-0010-0000-0100-000004000000}" name="Food &amp; Beverage Stores"/>
    <tableColumn id="5" xr3:uid="{00000000-0010-0000-0100-000005000000}" name="General Merchandise"/>
    <tableColumn id="6" xr3:uid="{00000000-0010-0000-0100-000006000000}" name="Food Services &amp; Drinking"/>
    <tableColumn id="7" xr3:uid="{00000000-0010-0000-0100-000007000000}" name="Health &amp; Personal Care"/>
    <tableColumn id="8" xr3:uid="{00000000-0010-0000-0100-000008000000}" name="Gasoline Stations"/>
    <tableColumn id="9" xr3:uid="{00000000-0010-0000-0100-000009000000}" name="Clothing &amp; Accessories"/>
    <tableColumn id="10" xr3:uid="{00000000-0010-0000-0100-00000A000000}" name="Building Material &amp; Garden"/>
    <tableColumn id="11" xr3:uid="{00000000-0010-0000-0100-00000B000000}" name="Electronics &amp; Appliances"/>
    <tableColumn id="12" xr3:uid="{00000000-0010-0000-0100-00000C000000}" name="Furniture &amp; Home Furnishings"/>
    <tableColumn id="13" xr3:uid="{00000000-0010-0000-0100-00000D000000}" name="Sporting Goods &amp; Hob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topLeftCell="A20" zoomScale="99" zoomScaleNormal="99" workbookViewId="0">
      <selection activeCell="T38" sqref="T38"/>
    </sheetView>
  </sheetViews>
  <sheetFormatPr defaultRowHeight="14.4" x14ac:dyDescent="0.3"/>
  <cols>
    <col min="1" max="14" width="11" customWidth="1"/>
  </cols>
  <sheetData>
    <row r="1" spans="1:17" ht="37.950000000000003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12"/>
      <c r="P1" s="13"/>
      <c r="Q1" s="13"/>
    </row>
    <row r="2" spans="1:17" ht="15" customHeight="1" x14ac:dyDescent="0.3">
      <c r="A2" s="2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7" ht="7.95" customHeight="1" x14ac:dyDescent="0.3"/>
    <row r="4" spans="1:17" ht="22.05" customHeight="1" x14ac:dyDescent="0.3">
      <c r="C4" s="22" t="s">
        <v>2</v>
      </c>
      <c r="D4" s="15"/>
      <c r="E4" s="28" t="s">
        <v>3</v>
      </c>
      <c r="F4" s="15"/>
      <c r="G4" s="24" t="s">
        <v>4</v>
      </c>
      <c r="H4" s="15"/>
      <c r="I4" s="23" t="s">
        <v>5</v>
      </c>
      <c r="J4" s="15"/>
      <c r="K4" s="26" t="s">
        <v>6</v>
      </c>
      <c r="L4" s="15"/>
      <c r="M4" s="14" t="s">
        <v>7</v>
      </c>
      <c r="N4" s="15"/>
    </row>
    <row r="5" spans="1:17" ht="31.95" customHeight="1" x14ac:dyDescent="0.3">
      <c r="C5" s="17" t="s">
        <v>8</v>
      </c>
      <c r="D5" s="15"/>
      <c r="E5" s="16" t="s">
        <v>9</v>
      </c>
      <c r="F5" s="15"/>
      <c r="G5" s="19" t="s">
        <v>10</v>
      </c>
      <c r="H5" s="15"/>
      <c r="I5" s="18" t="s">
        <v>11</v>
      </c>
      <c r="J5" s="15"/>
      <c r="K5" s="21" t="s">
        <v>12</v>
      </c>
      <c r="L5" s="15"/>
      <c r="M5" s="20" t="s">
        <v>13</v>
      </c>
      <c r="N5" s="15"/>
    </row>
    <row r="6" spans="1:17" ht="7.95" customHeight="1" x14ac:dyDescent="0.3"/>
  </sheetData>
  <mergeCells count="14">
    <mergeCell ref="A1:N1"/>
    <mergeCell ref="K4:L4"/>
    <mergeCell ref="A2:N2"/>
    <mergeCell ref="E4:F4"/>
    <mergeCell ref="M4:N4"/>
    <mergeCell ref="E5:F5"/>
    <mergeCell ref="C5:D5"/>
    <mergeCell ref="I5:J5"/>
    <mergeCell ref="G5:H5"/>
    <mergeCell ref="M5:N5"/>
    <mergeCell ref="K5:L5"/>
    <mergeCell ref="C4:D4"/>
    <mergeCell ref="I4:J4"/>
    <mergeCell ref="G4:H4"/>
  </mergeCells>
  <phoneticPr fontId="14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4.4" x14ac:dyDescent="0.3"/>
  <cols>
    <col min="1" max="1" width="10" customWidth="1"/>
    <col min="2" max="2" width="34" customWidth="1"/>
    <col min="3" max="3" width="20" customWidth="1"/>
    <col min="4" max="4" width="18" customWidth="1"/>
    <col min="5" max="5" width="24" customWidth="1"/>
  </cols>
  <sheetData>
    <row r="1" spans="1:5" ht="28.05" customHeight="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2" t="s">
        <v>19</v>
      </c>
      <c r="B2" s="3">
        <v>700.2</v>
      </c>
      <c r="C2" s="2" t="s">
        <v>20</v>
      </c>
      <c r="D2" s="2" t="s">
        <v>20</v>
      </c>
      <c r="E2" s="3">
        <f>B2</f>
        <v>700.2</v>
      </c>
    </row>
    <row r="3" spans="1:5" x14ac:dyDescent="0.3">
      <c r="A3" s="4" t="s">
        <v>21</v>
      </c>
      <c r="B3" s="5">
        <v>698.5</v>
      </c>
      <c r="C3" s="5">
        <f t="shared" ref="C3:C13" si="0">B3-B2</f>
        <v>-1.7000000000000455</v>
      </c>
      <c r="D3" s="6">
        <f t="shared" ref="D3:D13" si="1">(B3-B2)/B2</f>
        <v>-2.4278777492145751E-3</v>
      </c>
      <c r="E3" s="5">
        <f t="shared" ref="E3:E13" si="2">E2+B3</f>
        <v>1398.7</v>
      </c>
    </row>
    <row r="4" spans="1:5" x14ac:dyDescent="0.3">
      <c r="A4" s="2" t="s">
        <v>22</v>
      </c>
      <c r="B4" s="3">
        <v>709.3</v>
      </c>
      <c r="C4" s="3">
        <f t="shared" si="0"/>
        <v>10.799999999999955</v>
      </c>
      <c r="D4" s="7">
        <f t="shared" si="1"/>
        <v>1.5461703650679963E-2</v>
      </c>
      <c r="E4" s="3">
        <f t="shared" si="2"/>
        <v>2108</v>
      </c>
    </row>
    <row r="5" spans="1:5" x14ac:dyDescent="0.3">
      <c r="A5" s="4" t="s">
        <v>23</v>
      </c>
      <c r="B5" s="5">
        <v>706.1</v>
      </c>
      <c r="C5" s="5">
        <f t="shared" si="0"/>
        <v>-3.1999999999999318</v>
      </c>
      <c r="D5" s="6">
        <f t="shared" si="1"/>
        <v>-4.5114902016071224E-3</v>
      </c>
      <c r="E5" s="5">
        <f t="shared" si="2"/>
        <v>2814.1</v>
      </c>
    </row>
    <row r="6" spans="1:5" x14ac:dyDescent="0.3">
      <c r="A6" s="2" t="s">
        <v>24</v>
      </c>
      <c r="B6" s="3">
        <v>711.8</v>
      </c>
      <c r="C6" s="3">
        <f t="shared" si="0"/>
        <v>5.6999999999999318</v>
      </c>
      <c r="D6" s="7">
        <f t="shared" si="1"/>
        <v>8.0725109757823696E-3</v>
      </c>
      <c r="E6" s="3">
        <f t="shared" si="2"/>
        <v>3525.8999999999996</v>
      </c>
    </row>
    <row r="7" spans="1:5" x14ac:dyDescent="0.3">
      <c r="A7" s="4" t="s">
        <v>25</v>
      </c>
      <c r="B7" s="5">
        <v>708.4</v>
      </c>
      <c r="C7" s="5">
        <f t="shared" si="0"/>
        <v>-3.3999999999999773</v>
      </c>
      <c r="D7" s="6">
        <f t="shared" si="1"/>
        <v>-4.77662264681087E-3</v>
      </c>
      <c r="E7" s="5">
        <f t="shared" si="2"/>
        <v>4234.2999999999993</v>
      </c>
    </row>
    <row r="8" spans="1:5" x14ac:dyDescent="0.3">
      <c r="A8" s="2" t="s">
        <v>26</v>
      </c>
      <c r="B8" s="3">
        <v>714.7</v>
      </c>
      <c r="C8" s="3">
        <f t="shared" si="0"/>
        <v>6.3000000000000682</v>
      </c>
      <c r="D8" s="7">
        <f t="shared" si="1"/>
        <v>8.8932806324111633E-3</v>
      </c>
      <c r="E8" s="3">
        <f t="shared" si="2"/>
        <v>4948.9999999999991</v>
      </c>
    </row>
    <row r="9" spans="1:5" x14ac:dyDescent="0.3">
      <c r="A9" s="4" t="s">
        <v>27</v>
      </c>
      <c r="B9" s="5">
        <v>712.3</v>
      </c>
      <c r="C9" s="5">
        <f t="shared" si="0"/>
        <v>-2.4000000000000909</v>
      </c>
      <c r="D9" s="6">
        <f t="shared" si="1"/>
        <v>-3.3580523296489308E-3</v>
      </c>
      <c r="E9" s="5">
        <f t="shared" si="2"/>
        <v>5661.2999999999993</v>
      </c>
    </row>
    <row r="10" spans="1:5" x14ac:dyDescent="0.3">
      <c r="A10" s="2" t="s">
        <v>28</v>
      </c>
      <c r="B10" s="3">
        <v>715</v>
      </c>
      <c r="C10" s="3">
        <f t="shared" si="0"/>
        <v>2.7000000000000455</v>
      </c>
      <c r="D10" s="7">
        <f t="shared" si="1"/>
        <v>3.7905376947915846E-3</v>
      </c>
      <c r="E10" s="3">
        <f t="shared" si="2"/>
        <v>6376.2999999999993</v>
      </c>
    </row>
    <row r="11" spans="1:5" x14ac:dyDescent="0.3">
      <c r="A11" s="4" t="s">
        <v>29</v>
      </c>
      <c r="B11" s="5">
        <v>718.9</v>
      </c>
      <c r="C11" s="5">
        <f t="shared" si="0"/>
        <v>3.8999999999999773</v>
      </c>
      <c r="D11" s="6">
        <f t="shared" si="1"/>
        <v>5.4545454545454229E-3</v>
      </c>
      <c r="E11" s="5">
        <f t="shared" si="2"/>
        <v>7095.1999999999989</v>
      </c>
    </row>
    <row r="12" spans="1:5" x14ac:dyDescent="0.3">
      <c r="A12" s="2" t="s">
        <v>30</v>
      </c>
      <c r="B12" s="3">
        <v>724.1</v>
      </c>
      <c r="C12" s="3">
        <f t="shared" si="0"/>
        <v>5.2000000000000455</v>
      </c>
      <c r="D12" s="7">
        <f t="shared" si="1"/>
        <v>7.2332730560579293E-3</v>
      </c>
      <c r="E12" s="3">
        <f t="shared" si="2"/>
        <v>7819.2999999999993</v>
      </c>
    </row>
    <row r="13" spans="1:5" x14ac:dyDescent="0.3">
      <c r="A13" s="4" t="s">
        <v>31</v>
      </c>
      <c r="B13" s="5">
        <v>729.8</v>
      </c>
      <c r="C13" s="5">
        <f t="shared" si="0"/>
        <v>5.6999999999999318</v>
      </c>
      <c r="D13" s="6">
        <f t="shared" si="1"/>
        <v>7.8718409059521221E-3</v>
      </c>
      <c r="E13" s="5">
        <f t="shared" si="2"/>
        <v>8549.0999999999985</v>
      </c>
    </row>
    <row r="14" spans="1:5" x14ac:dyDescent="0.3">
      <c r="A14" s="8" t="s">
        <v>32</v>
      </c>
      <c r="B14" s="9">
        <f>SUM(B2:B13)</f>
        <v>8549.0999999999985</v>
      </c>
      <c r="C14" s="8"/>
      <c r="D14" s="8"/>
      <c r="E14" s="9">
        <f>B14</f>
        <v>8549.0999999999985</v>
      </c>
    </row>
    <row r="16" spans="1:5" x14ac:dyDescent="0.3">
      <c r="A16" s="29" t="s">
        <v>33</v>
      </c>
      <c r="B16" s="15"/>
      <c r="C16" s="15"/>
      <c r="D16" s="15"/>
      <c r="E16" s="15"/>
    </row>
  </sheetData>
  <mergeCells count="1">
    <mergeCell ref="A16:E16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/>
  </sheetViews>
  <sheetFormatPr defaultRowHeight="14.4" x14ac:dyDescent="0.3"/>
  <cols>
    <col min="1" max="1" width="8" customWidth="1"/>
    <col min="2" max="13" width="10" customWidth="1"/>
  </cols>
  <sheetData>
    <row r="1" spans="1:13" ht="40.049999999999997" customHeight="1" x14ac:dyDescent="0.3">
      <c r="A1" s="1" t="s">
        <v>14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3">
      <c r="A2" s="2" t="s">
        <v>19</v>
      </c>
      <c r="B2" s="3">
        <v>140</v>
      </c>
      <c r="C2" s="3">
        <v>119.8</v>
      </c>
      <c r="D2" s="3">
        <v>82.3</v>
      </c>
      <c r="E2" s="3">
        <v>72.400000000000006</v>
      </c>
      <c r="F2" s="3">
        <v>96.5</v>
      </c>
      <c r="G2" s="3">
        <v>37.1</v>
      </c>
      <c r="H2" s="3">
        <v>49.5</v>
      </c>
      <c r="I2" s="3">
        <v>25.4</v>
      </c>
      <c r="J2" s="3">
        <v>42.1</v>
      </c>
      <c r="K2" s="3">
        <v>9.1</v>
      </c>
      <c r="L2" s="3">
        <v>12.1</v>
      </c>
      <c r="M2" s="3">
        <v>7.8</v>
      </c>
    </row>
    <row r="3" spans="1:13" x14ac:dyDescent="0.3">
      <c r="A3" s="4" t="s">
        <v>21</v>
      </c>
      <c r="B3" s="5">
        <v>138.4</v>
      </c>
      <c r="C3" s="5">
        <v>120.4</v>
      </c>
      <c r="D3" s="5">
        <v>80.900000000000006</v>
      </c>
      <c r="E3" s="5">
        <v>71.2</v>
      </c>
      <c r="F3" s="5">
        <v>96.1</v>
      </c>
      <c r="G3" s="5">
        <v>36.799999999999997</v>
      </c>
      <c r="H3" s="5">
        <v>48.2</v>
      </c>
      <c r="I3" s="5">
        <v>24.8</v>
      </c>
      <c r="J3" s="5">
        <v>41.5</v>
      </c>
      <c r="K3" s="5">
        <v>8.8000000000000007</v>
      </c>
      <c r="L3" s="5">
        <v>11.8</v>
      </c>
      <c r="M3" s="5">
        <v>7.6</v>
      </c>
    </row>
    <row r="4" spans="1:13" x14ac:dyDescent="0.3">
      <c r="A4" s="2" t="s">
        <v>22</v>
      </c>
      <c r="B4" s="3">
        <v>142.5</v>
      </c>
      <c r="C4" s="3">
        <v>122.3</v>
      </c>
      <c r="D4" s="3">
        <v>83.1</v>
      </c>
      <c r="E4" s="3">
        <v>73.099999999999994</v>
      </c>
      <c r="F4" s="3">
        <v>97.8</v>
      </c>
      <c r="G4" s="3">
        <v>37.5</v>
      </c>
      <c r="H4" s="3">
        <v>49.8</v>
      </c>
      <c r="I4" s="3">
        <v>26.1</v>
      </c>
      <c r="J4" s="3">
        <v>43.8</v>
      </c>
      <c r="K4" s="3">
        <v>9.3000000000000007</v>
      </c>
      <c r="L4" s="3">
        <v>12.4</v>
      </c>
      <c r="M4" s="3">
        <v>8.1</v>
      </c>
    </row>
    <row r="5" spans="1:13" x14ac:dyDescent="0.3">
      <c r="A5" s="4" t="s">
        <v>23</v>
      </c>
      <c r="B5" s="5">
        <v>141.1</v>
      </c>
      <c r="C5" s="5">
        <v>121.5</v>
      </c>
      <c r="D5" s="5">
        <v>82.7</v>
      </c>
      <c r="E5" s="5">
        <v>72.8</v>
      </c>
      <c r="F5" s="5">
        <v>97.3</v>
      </c>
      <c r="G5" s="5">
        <v>37.200000000000003</v>
      </c>
      <c r="H5" s="5">
        <v>48.9</v>
      </c>
      <c r="I5" s="5">
        <v>25.9</v>
      </c>
      <c r="J5" s="5">
        <v>43</v>
      </c>
      <c r="K5" s="5">
        <v>9</v>
      </c>
      <c r="L5" s="5">
        <v>12</v>
      </c>
      <c r="M5" s="5">
        <v>8</v>
      </c>
    </row>
    <row r="6" spans="1:13" x14ac:dyDescent="0.3">
      <c r="A6" s="2" t="s">
        <v>24</v>
      </c>
      <c r="B6" s="3">
        <v>143.19999999999999</v>
      </c>
      <c r="C6" s="3">
        <v>122.9</v>
      </c>
      <c r="D6" s="3">
        <v>83.5</v>
      </c>
      <c r="E6" s="3">
        <v>73.599999999999994</v>
      </c>
      <c r="F6" s="3">
        <v>98.2</v>
      </c>
      <c r="G6" s="3">
        <v>37.6</v>
      </c>
      <c r="H6" s="3">
        <v>49.4</v>
      </c>
      <c r="I6" s="3">
        <v>26.3</v>
      </c>
      <c r="J6" s="3">
        <v>44.1</v>
      </c>
      <c r="K6" s="3">
        <v>9.1999999999999993</v>
      </c>
      <c r="L6" s="3">
        <v>12.3</v>
      </c>
      <c r="M6" s="3">
        <v>8.1999999999999993</v>
      </c>
    </row>
    <row r="7" spans="1:13" x14ac:dyDescent="0.3">
      <c r="A7" s="4" t="s">
        <v>25</v>
      </c>
      <c r="B7" s="5">
        <v>141.80000000000001</v>
      </c>
      <c r="C7" s="5">
        <v>123.4</v>
      </c>
      <c r="D7" s="5">
        <v>83</v>
      </c>
      <c r="E7" s="5">
        <v>72.900000000000006</v>
      </c>
      <c r="F7" s="5">
        <v>98.6</v>
      </c>
      <c r="G7" s="5">
        <v>37.4</v>
      </c>
      <c r="H7" s="5">
        <v>48.7</v>
      </c>
      <c r="I7" s="5">
        <v>25.7</v>
      </c>
      <c r="J7" s="5">
        <v>43.5</v>
      </c>
      <c r="K7" s="5">
        <v>9.1</v>
      </c>
      <c r="L7" s="5">
        <v>12.1</v>
      </c>
      <c r="M7" s="5">
        <v>8</v>
      </c>
    </row>
    <row r="8" spans="1:13" x14ac:dyDescent="0.3">
      <c r="A8" s="2" t="s">
        <v>26</v>
      </c>
      <c r="B8" s="3">
        <v>143.80000000000001</v>
      </c>
      <c r="C8" s="3">
        <v>125.1</v>
      </c>
      <c r="D8" s="3">
        <v>83.8</v>
      </c>
      <c r="E8" s="3">
        <v>73.5</v>
      </c>
      <c r="F8" s="3">
        <v>99.1</v>
      </c>
      <c r="G8" s="3">
        <v>37.799999999999997</v>
      </c>
      <c r="H8" s="3">
        <v>49.2</v>
      </c>
      <c r="I8" s="3">
        <v>26</v>
      </c>
      <c r="J8" s="3">
        <v>43.9</v>
      </c>
      <c r="K8" s="3">
        <v>9.6</v>
      </c>
      <c r="L8" s="3">
        <v>12</v>
      </c>
      <c r="M8" s="3">
        <v>8.3000000000000007</v>
      </c>
    </row>
    <row r="9" spans="1:13" x14ac:dyDescent="0.3">
      <c r="A9" s="4" t="s">
        <v>27</v>
      </c>
      <c r="B9" s="5">
        <v>142.69999999999999</v>
      </c>
      <c r="C9" s="5">
        <v>124.2</v>
      </c>
      <c r="D9" s="5">
        <v>83.6</v>
      </c>
      <c r="E9" s="5">
        <v>73.2</v>
      </c>
      <c r="F9" s="5">
        <v>98.9</v>
      </c>
      <c r="G9" s="5">
        <v>37.6</v>
      </c>
      <c r="H9" s="5">
        <v>48.8</v>
      </c>
      <c r="I9" s="5">
        <v>26.2</v>
      </c>
      <c r="J9" s="5">
        <v>43.7</v>
      </c>
      <c r="K9" s="5">
        <v>9.4</v>
      </c>
      <c r="L9" s="5">
        <v>11.9</v>
      </c>
      <c r="M9" s="5">
        <v>8.1999999999999993</v>
      </c>
    </row>
    <row r="10" spans="1:13" x14ac:dyDescent="0.3">
      <c r="A10" s="2" t="s">
        <v>28</v>
      </c>
      <c r="B10" s="3">
        <v>143.5</v>
      </c>
      <c r="C10" s="3">
        <v>125.8</v>
      </c>
      <c r="D10" s="3">
        <v>83.9</v>
      </c>
      <c r="E10" s="3">
        <v>73.8</v>
      </c>
      <c r="F10" s="3">
        <v>99.4</v>
      </c>
      <c r="G10" s="3">
        <v>37.9</v>
      </c>
      <c r="H10" s="3">
        <v>49</v>
      </c>
      <c r="I10" s="3">
        <v>25.8</v>
      </c>
      <c r="J10" s="3">
        <v>43.2</v>
      </c>
      <c r="K10" s="3">
        <v>9.3000000000000007</v>
      </c>
      <c r="L10" s="3">
        <v>11.8</v>
      </c>
      <c r="M10" s="3">
        <v>8.1</v>
      </c>
    </row>
    <row r="11" spans="1:13" x14ac:dyDescent="0.3">
      <c r="A11" s="4" t="s">
        <v>29</v>
      </c>
      <c r="B11" s="5">
        <v>144.19999999999999</v>
      </c>
      <c r="C11" s="5">
        <v>127.3</v>
      </c>
      <c r="D11" s="5">
        <v>84.2</v>
      </c>
      <c r="E11" s="5">
        <v>74.2</v>
      </c>
      <c r="F11" s="5">
        <v>100.1</v>
      </c>
      <c r="G11" s="5">
        <v>38.200000000000003</v>
      </c>
      <c r="H11" s="5">
        <v>49.3</v>
      </c>
      <c r="I11" s="5">
        <v>26.1</v>
      </c>
      <c r="J11" s="5">
        <v>43.3</v>
      </c>
      <c r="K11" s="5">
        <v>9.5</v>
      </c>
      <c r="L11" s="5">
        <v>12.1</v>
      </c>
      <c r="M11" s="5">
        <v>8.3000000000000007</v>
      </c>
    </row>
    <row r="12" spans="1:13" x14ac:dyDescent="0.3">
      <c r="A12" s="2" t="s">
        <v>30</v>
      </c>
      <c r="B12" s="3">
        <v>144.9</v>
      </c>
      <c r="C12" s="3">
        <v>131.19999999999999</v>
      </c>
      <c r="D12" s="3">
        <v>84.5</v>
      </c>
      <c r="E12" s="3">
        <v>76.8</v>
      </c>
      <c r="F12" s="3">
        <v>100.8</v>
      </c>
      <c r="G12" s="3">
        <v>38.5</v>
      </c>
      <c r="H12" s="3">
        <v>49.1</v>
      </c>
      <c r="I12" s="3">
        <v>27.4</v>
      </c>
      <c r="J12" s="3">
        <v>43.4</v>
      </c>
      <c r="K12" s="3">
        <v>10.199999999999999</v>
      </c>
      <c r="L12" s="3">
        <v>12.5</v>
      </c>
      <c r="M12" s="3">
        <v>9</v>
      </c>
    </row>
    <row r="13" spans="1:13" x14ac:dyDescent="0.3">
      <c r="A13" s="4" t="s">
        <v>31</v>
      </c>
      <c r="B13" s="5">
        <v>145.6</v>
      </c>
      <c r="C13" s="5">
        <v>133.9</v>
      </c>
      <c r="D13" s="5">
        <v>85.1</v>
      </c>
      <c r="E13" s="5">
        <v>79.400000000000006</v>
      </c>
      <c r="F13" s="5">
        <v>101.6</v>
      </c>
      <c r="G13" s="5">
        <v>38.9</v>
      </c>
      <c r="H13" s="5">
        <v>49</v>
      </c>
      <c r="I13" s="5">
        <v>28.1</v>
      </c>
      <c r="J13" s="5">
        <v>43.5</v>
      </c>
      <c r="K13" s="5">
        <v>10.8</v>
      </c>
      <c r="L13" s="5">
        <v>13.2</v>
      </c>
      <c r="M13" s="5">
        <v>9.1</v>
      </c>
    </row>
    <row r="14" spans="1:13" x14ac:dyDescent="0.3">
      <c r="A14" s="8" t="s">
        <v>32</v>
      </c>
      <c r="B14" s="9">
        <f t="shared" ref="B14:M14" si="0">SUM(B2:B13)</f>
        <v>1711.7</v>
      </c>
      <c r="C14" s="9">
        <f t="shared" si="0"/>
        <v>1497.8000000000002</v>
      </c>
      <c r="D14" s="9">
        <f t="shared" si="0"/>
        <v>1000.6</v>
      </c>
      <c r="E14" s="9">
        <f t="shared" si="0"/>
        <v>886.9</v>
      </c>
      <c r="F14" s="9">
        <f t="shared" si="0"/>
        <v>1184.3999999999999</v>
      </c>
      <c r="G14" s="9">
        <f t="shared" si="0"/>
        <v>452.5</v>
      </c>
      <c r="H14" s="9">
        <f t="shared" si="0"/>
        <v>588.9</v>
      </c>
      <c r="I14" s="9">
        <f t="shared" si="0"/>
        <v>313.8</v>
      </c>
      <c r="J14" s="9">
        <f t="shared" si="0"/>
        <v>519</v>
      </c>
      <c r="K14" s="9">
        <f t="shared" si="0"/>
        <v>113.30000000000001</v>
      </c>
      <c r="L14" s="9">
        <f t="shared" si="0"/>
        <v>146.19999999999999</v>
      </c>
      <c r="M14" s="9">
        <f t="shared" si="0"/>
        <v>98.699999999999989</v>
      </c>
    </row>
    <row r="16" spans="1:13" x14ac:dyDescent="0.3">
      <c r="A16" s="29" t="s">
        <v>46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</sheetData>
  <mergeCells count="1">
    <mergeCell ref="A16:M16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/>
  </sheetViews>
  <sheetFormatPr defaultRowHeight="14.4" x14ac:dyDescent="0.3"/>
  <cols>
    <col min="1" max="1" width="30" customWidth="1"/>
    <col min="2" max="2" width="12" customWidth="1"/>
    <col min="3" max="4" width="18" customWidth="1"/>
    <col min="5" max="5" width="12" customWidth="1"/>
    <col min="6" max="6" width="16" customWidth="1"/>
    <col min="7" max="7" width="14" customWidth="1"/>
    <col min="8" max="8" width="22" customWidth="1"/>
  </cols>
  <sheetData>
    <row r="1" spans="1:8" ht="28.05" customHeight="1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 x14ac:dyDescent="0.3">
      <c r="A2" s="2" t="s">
        <v>34</v>
      </c>
      <c r="B2" s="2" t="s">
        <v>55</v>
      </c>
      <c r="C2" s="3">
        <v>1711.7</v>
      </c>
      <c r="D2" s="3">
        <v>142.6</v>
      </c>
      <c r="E2" s="2" t="s">
        <v>31</v>
      </c>
      <c r="F2" s="3">
        <v>145.6</v>
      </c>
      <c r="G2" s="10">
        <f t="shared" ref="G2:G13" si="0">C2/8549.1</f>
        <v>0.20021990618895555</v>
      </c>
      <c r="H2" s="2" t="s">
        <v>56</v>
      </c>
    </row>
    <row r="3" spans="1:8" x14ac:dyDescent="0.3">
      <c r="A3" s="4" t="s">
        <v>35</v>
      </c>
      <c r="B3" s="4" t="s">
        <v>57</v>
      </c>
      <c r="C3" s="5">
        <v>1497.8</v>
      </c>
      <c r="D3" s="5">
        <v>124.8</v>
      </c>
      <c r="E3" s="4" t="s">
        <v>31</v>
      </c>
      <c r="F3" s="5">
        <v>133.9</v>
      </c>
      <c r="G3" s="11">
        <f t="shared" si="0"/>
        <v>0.17519972862640509</v>
      </c>
      <c r="H3" s="4" t="s">
        <v>58</v>
      </c>
    </row>
    <row r="4" spans="1:8" x14ac:dyDescent="0.3">
      <c r="A4" s="2" t="s">
        <v>36</v>
      </c>
      <c r="B4" s="2" t="s">
        <v>59</v>
      </c>
      <c r="C4" s="3">
        <v>1000.6</v>
      </c>
      <c r="D4" s="3">
        <v>83.4</v>
      </c>
      <c r="E4" s="2" t="s">
        <v>31</v>
      </c>
      <c r="F4" s="3">
        <v>85.1</v>
      </c>
      <c r="G4" s="10">
        <f t="shared" si="0"/>
        <v>0.11704155993028506</v>
      </c>
      <c r="H4" s="2" t="s">
        <v>60</v>
      </c>
    </row>
    <row r="5" spans="1:8" x14ac:dyDescent="0.3">
      <c r="A5" s="4" t="s">
        <v>37</v>
      </c>
      <c r="B5" s="4" t="s">
        <v>61</v>
      </c>
      <c r="C5" s="5">
        <v>886.9</v>
      </c>
      <c r="D5" s="5">
        <v>73.900000000000006</v>
      </c>
      <c r="E5" s="4" t="s">
        <v>31</v>
      </c>
      <c r="F5" s="5">
        <v>79.400000000000006</v>
      </c>
      <c r="G5" s="11">
        <f t="shared" si="0"/>
        <v>0.10374191435355767</v>
      </c>
      <c r="H5" s="4" t="s">
        <v>62</v>
      </c>
    </row>
    <row r="6" spans="1:8" x14ac:dyDescent="0.3">
      <c r="A6" s="2" t="s">
        <v>38</v>
      </c>
      <c r="B6" s="2" t="s">
        <v>63</v>
      </c>
      <c r="C6" s="3">
        <v>1184.4000000000001</v>
      </c>
      <c r="D6" s="3">
        <v>98.7</v>
      </c>
      <c r="E6" s="2" t="s">
        <v>31</v>
      </c>
      <c r="F6" s="3">
        <v>101.6</v>
      </c>
      <c r="G6" s="10">
        <f t="shared" si="0"/>
        <v>0.13854089904200442</v>
      </c>
      <c r="H6" s="2" t="s">
        <v>64</v>
      </c>
    </row>
    <row r="7" spans="1:8" x14ac:dyDescent="0.3">
      <c r="A7" s="4" t="s">
        <v>39</v>
      </c>
      <c r="B7" s="4" t="s">
        <v>65</v>
      </c>
      <c r="C7" s="5">
        <v>452.5</v>
      </c>
      <c r="D7" s="5">
        <v>37.700000000000003</v>
      </c>
      <c r="E7" s="4" t="s">
        <v>31</v>
      </c>
      <c r="F7" s="5">
        <v>38.9</v>
      </c>
      <c r="G7" s="11">
        <f t="shared" si="0"/>
        <v>5.2929548139570244E-2</v>
      </c>
      <c r="H7" s="4" t="s">
        <v>66</v>
      </c>
    </row>
    <row r="8" spans="1:8" x14ac:dyDescent="0.3">
      <c r="A8" s="2" t="s">
        <v>40</v>
      </c>
      <c r="B8" s="2" t="s">
        <v>67</v>
      </c>
      <c r="C8" s="3">
        <v>588.9</v>
      </c>
      <c r="D8" s="3">
        <v>49.1</v>
      </c>
      <c r="E8" s="2" t="s">
        <v>22</v>
      </c>
      <c r="F8" s="3">
        <v>49.8</v>
      </c>
      <c r="G8" s="10">
        <f t="shared" si="0"/>
        <v>6.8884443976558934E-2</v>
      </c>
      <c r="H8" s="2" t="s">
        <v>68</v>
      </c>
    </row>
    <row r="9" spans="1:8" x14ac:dyDescent="0.3">
      <c r="A9" s="4" t="s">
        <v>41</v>
      </c>
      <c r="B9" s="4" t="s">
        <v>69</v>
      </c>
      <c r="C9" s="5">
        <v>313.8</v>
      </c>
      <c r="D9" s="5">
        <v>26.2</v>
      </c>
      <c r="E9" s="4" t="s">
        <v>31</v>
      </c>
      <c r="F9" s="5">
        <v>28.1</v>
      </c>
      <c r="G9" s="11">
        <f t="shared" si="0"/>
        <v>3.6705618135242306E-2</v>
      </c>
      <c r="H9" s="4" t="s">
        <v>70</v>
      </c>
    </row>
    <row r="10" spans="1:8" x14ac:dyDescent="0.3">
      <c r="A10" s="2" t="s">
        <v>42</v>
      </c>
      <c r="B10" s="2" t="s">
        <v>71</v>
      </c>
      <c r="C10" s="3">
        <v>519</v>
      </c>
      <c r="D10" s="3">
        <v>43.2</v>
      </c>
      <c r="E10" s="2" t="s">
        <v>24</v>
      </c>
      <c r="F10" s="3">
        <v>44.1</v>
      </c>
      <c r="G10" s="10">
        <f t="shared" si="0"/>
        <v>6.0708144716987752E-2</v>
      </c>
      <c r="H10" s="2" t="s">
        <v>72</v>
      </c>
    </row>
    <row r="11" spans="1:8" x14ac:dyDescent="0.3">
      <c r="A11" s="4" t="s">
        <v>43</v>
      </c>
      <c r="B11" s="4" t="s">
        <v>73</v>
      </c>
      <c r="C11" s="5">
        <v>113.3</v>
      </c>
      <c r="D11" s="5">
        <v>9.4</v>
      </c>
      <c r="E11" s="4" t="s">
        <v>31</v>
      </c>
      <c r="F11" s="5">
        <v>10.8</v>
      </c>
      <c r="G11" s="11">
        <f t="shared" si="0"/>
        <v>1.3252857025885766E-2</v>
      </c>
      <c r="H11" s="4" t="s">
        <v>74</v>
      </c>
    </row>
    <row r="12" spans="1:8" x14ac:dyDescent="0.3">
      <c r="A12" s="2" t="s">
        <v>44</v>
      </c>
      <c r="B12" s="2" t="s">
        <v>75</v>
      </c>
      <c r="C12" s="3">
        <v>146.19999999999999</v>
      </c>
      <c r="D12" s="3">
        <v>12.2</v>
      </c>
      <c r="E12" s="2" t="s">
        <v>31</v>
      </c>
      <c r="F12" s="3">
        <v>13.2</v>
      </c>
      <c r="G12" s="10">
        <f t="shared" si="0"/>
        <v>1.7101215332608107E-2</v>
      </c>
      <c r="H12" s="2" t="s">
        <v>76</v>
      </c>
    </row>
    <row r="13" spans="1:8" x14ac:dyDescent="0.3">
      <c r="A13" s="4" t="s">
        <v>45</v>
      </c>
      <c r="B13" s="4" t="s">
        <v>77</v>
      </c>
      <c r="C13" s="5">
        <v>98.7</v>
      </c>
      <c r="D13" s="5">
        <v>8.1999999999999993</v>
      </c>
      <c r="E13" s="4" t="s">
        <v>31</v>
      </c>
      <c r="F13" s="5">
        <v>9.1</v>
      </c>
      <c r="G13" s="11">
        <f t="shared" si="0"/>
        <v>1.1545074920167035E-2</v>
      </c>
      <c r="H13" s="4" t="s">
        <v>78</v>
      </c>
    </row>
    <row r="14" spans="1:8" x14ac:dyDescent="0.3">
      <c r="A14" s="8" t="s">
        <v>79</v>
      </c>
      <c r="B14" s="8"/>
      <c r="C14" s="9">
        <f>SUM(C2:C13)</f>
        <v>8513.8000000000011</v>
      </c>
      <c r="D14" s="9">
        <f>C14/12</f>
        <v>709.48333333333346</v>
      </c>
      <c r="E14" s="8"/>
      <c r="F14" s="8"/>
      <c r="G14" s="8" t="s">
        <v>80</v>
      </c>
      <c r="H14" s="8" t="s">
        <v>81</v>
      </c>
    </row>
    <row r="16" spans="1:8" x14ac:dyDescent="0.3">
      <c r="A16" s="29" t="s">
        <v>82</v>
      </c>
      <c r="B16" s="15"/>
      <c r="C16" s="15"/>
      <c r="D16" s="15"/>
      <c r="E16" s="15"/>
      <c r="F16" s="15"/>
      <c r="G16" s="15"/>
      <c r="H16" s="15"/>
    </row>
  </sheetData>
  <mergeCells count="1">
    <mergeCell ref="A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Monthly Totals</vt:lpstr>
      <vt:lpstr>Category Breakdown</vt:lpstr>
      <vt:lpstr>Annual 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Joy</cp:lastModifiedBy>
  <dcterms:created xsi:type="dcterms:W3CDTF">2026-04-23T08:13:47Z</dcterms:created>
  <dcterms:modified xsi:type="dcterms:W3CDTF">2026-04-28T04:15:12Z</dcterms:modified>
</cp:coreProperties>
</file>